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rlo\OneDrive\Escritorio\Notas web\"/>
    </mc:Choice>
  </mc:AlternateContent>
  <xr:revisionPtr revIDLastSave="0" documentId="13_ncr:1_{2C36AE46-696F-44E4-A1E3-14B341D54FA6}" xr6:coauthVersionLast="47" xr6:coauthVersionMax="47" xr10:uidLastSave="{00000000-0000-0000-0000-000000000000}"/>
  <bookViews>
    <workbookView xWindow="-120" yWindow="-120" windowWidth="24240" windowHeight="13740" xr2:uid="{9D00945B-46AD-41D0-B129-FFD75CEBF604}"/>
  </bookViews>
  <sheets>
    <sheet name="Raw_Data" sheetId="1" r:id="rId1"/>
    <sheet name="Not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2" l="1"/>
  <c r="C28" i="1"/>
  <c r="C27" i="1"/>
  <c r="C26" i="1"/>
  <c r="C25" i="1"/>
  <c r="C24" i="1"/>
  <c r="C23" i="1"/>
  <c r="C22" i="1"/>
  <c r="C21" i="1"/>
  <c r="C20" i="1"/>
  <c r="C19" i="1"/>
  <c r="C18" i="1"/>
  <c r="C17" i="1"/>
  <c r="C16" i="1"/>
  <c r="C15" i="1"/>
  <c r="C14" i="1"/>
  <c r="C13" i="1"/>
  <c r="C12" i="1"/>
  <c r="C11" i="1"/>
  <c r="C10" i="1"/>
  <c r="C9" i="1"/>
  <c r="C8" i="1"/>
  <c r="C7" i="1"/>
  <c r="C6" i="1"/>
  <c r="C5" i="1"/>
  <c r="C4" i="1"/>
  <c r="C3" i="1"/>
  <c r="C2" i="1"/>
  <c r="H3" i="2" l="1"/>
  <c r="I3" i="2"/>
</calcChain>
</file>

<file path=xl/sharedStrings.xml><?xml version="1.0" encoding="utf-8"?>
<sst xmlns="http://schemas.openxmlformats.org/spreadsheetml/2006/main" count="69" uniqueCount="64">
  <si>
    <t>Nombre</t>
  </si>
  <si>
    <t>Nota</t>
  </si>
  <si>
    <t>Apellido</t>
  </si>
  <si>
    <t>Elvio</t>
  </si>
  <si>
    <t>Juarez</t>
  </si>
  <si>
    <t>Feedback</t>
  </si>
  <si>
    <t>Muy preciso, terminologias tecnicas no las tiene</t>
  </si>
  <si>
    <t>Luciano</t>
  </si>
  <si>
    <t>Palavecino</t>
  </si>
  <si>
    <t>Muy bien, excelente interpretacion de conceptos</t>
  </si>
  <si>
    <t xml:space="preserve">Matias </t>
  </si>
  <si>
    <t>Sanchez</t>
  </si>
  <si>
    <t>Sabe diferenciar entre un concepto y otro pero necesita reforzar contenidos y terminologias tecnicas</t>
  </si>
  <si>
    <t>Melina</t>
  </si>
  <si>
    <t>Gonzalez</t>
  </si>
  <si>
    <t xml:space="preserve">Sabes diferenciar entre un concepto y otro pero falta reforzar contenidos, palabras tecnicas </t>
  </si>
  <si>
    <t>Elina</t>
  </si>
  <si>
    <t>Garcia</t>
  </si>
  <si>
    <t>Sabe los conceptos basicos, tiene que reforzr los contenidos para poder explicar de manera clara y entender conceptos.</t>
  </si>
  <si>
    <t>Ana</t>
  </si>
  <si>
    <t>Mato</t>
  </si>
  <si>
    <t>Sabe diferenciar entre un concepto y otro pero  mezcla contenidos  pero es muy precisa</t>
  </si>
  <si>
    <t>Barbara</t>
  </si>
  <si>
    <t>Vizcarra</t>
  </si>
  <si>
    <t>Excelente intrepretacion y explicacion en los conceptos de cada consigna, faltaria pulir palabras tecnicas</t>
  </si>
  <si>
    <t>Aynara</t>
  </si>
  <si>
    <t>Alegre</t>
  </si>
  <si>
    <t>Excelente faltaria reforzar mas los contenidos</t>
  </si>
  <si>
    <t>Luciana</t>
  </si>
  <si>
    <t>Ramallo</t>
  </si>
  <si>
    <t>Impecable tu parcial, segui asi no te relajes</t>
  </si>
  <si>
    <t>Magali</t>
  </si>
  <si>
    <t>Saldaño</t>
  </si>
  <si>
    <t>Los contenidos basicos los sabes pero falto desarrollo de las preguntas.Espero un mejor examen para la proxima. Vos podes!!!!</t>
  </si>
  <si>
    <t>Karina</t>
  </si>
  <si>
    <t>Jimenez</t>
  </si>
  <si>
    <t>Si sabes diferenciar entre un concepto y otro. Pero falto mas elaboracion en las respuestas</t>
  </si>
  <si>
    <t xml:space="preserve">Maximo </t>
  </si>
  <si>
    <t>Montero</t>
  </si>
  <si>
    <t xml:space="preserve">Tuviste un buen examen. Faltaria un poco mas de tecnisimos para llegar al 10 </t>
  </si>
  <si>
    <t>Ivan</t>
  </si>
  <si>
    <t>Garaffa</t>
  </si>
  <si>
    <t>Excelente tu examen, tuviste el 90% de las respuestas correctas. Faltaria ajustar la parte tecnica</t>
  </si>
  <si>
    <t>Nadia</t>
  </si>
  <si>
    <t>Nadia, con tu examen note que das ejemplos y no desarrolas las ideas. Necesitaria que para la proxima desarrolles mas el contenido de las respuestas.</t>
  </si>
  <si>
    <t>Maira</t>
  </si>
  <si>
    <t>Suarez</t>
  </si>
  <si>
    <t>Maira, tu examen no tuvo el desempeño que esperaba de vos. Sin tener en cuenta que te econtre mirando la hoja de tu compañero. Para el proximo examen nesecito mas compromiso de tu lado.</t>
  </si>
  <si>
    <t>Isabel</t>
  </si>
  <si>
    <t>Rueda</t>
  </si>
  <si>
    <t>Muy flojo tu examen, deberias repasar los contenidos. Muchas preguntas sin resolver</t>
  </si>
  <si>
    <t>Agustin</t>
  </si>
  <si>
    <t>Kasgualder</t>
  </si>
  <si>
    <t>Agustin, tu examen estuvo muy flojo y tu letra dificulta mucho la calificacion de tu examen. Ese es otro punto a mejorar.</t>
  </si>
  <si>
    <t>Palomino</t>
  </si>
  <si>
    <t>Agustin, tuviste un mal desempeño en el examen, no pude calificarte por la falta de transparencia de tu parte ya que te encontre con el celular.Esto no se tolerara para proximos examenes.Espero un mayor compromiso de tu parte</t>
  </si>
  <si>
    <t>Lautaro</t>
  </si>
  <si>
    <t>Caldez</t>
  </si>
  <si>
    <t>Lautaro, tu examen le falto un mayor desarrollo en las respuestas, se nota que no tenes los conceptos claros. Tambien hay que destacar que te encontre ayudando a tu compañera ese tipo de actitudes no seran aceptadas en las siguientes etapas</t>
  </si>
  <si>
    <t>Cu</t>
  </si>
  <si>
    <t>Primer Nombre</t>
  </si>
  <si>
    <t>Mariana</t>
  </si>
  <si>
    <t>Correo</t>
  </si>
  <si>
    <t>carlosacisterna91@gmail.com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</si>
</sst>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u/>
      <sz val="11"/>
      <color theme="10"/>
      <name val="Aptos Narrow"/>
      <family val="2"/>
      <scheme val="minor"/>
    </font>
    <font>
      <sz val="11"/>
      <color theme="1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1"/>
        <bgColor theme="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0" fillId="2" borderId="0" xfId="0" applyFill="1"/>
    <xf numFmtId="0" fontId="0" fillId="2" borderId="0" xfId="0" applyFill="1" applyAlignment="1">
      <alignment horizontal="center" vertical="center"/>
    </xf>
    <xf numFmtId="0" fontId="1" fillId="3" borderId="2" xfId="0" applyFont="1" applyFill="1" applyBorder="1"/>
    <xf numFmtId="0" fontId="1" fillId="3" borderId="3" xfId="0" applyFont="1" applyFill="1" applyBorder="1"/>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3" fillId="0" borderId="0" xfId="1" applyFont="1"/>
  </cellXfs>
  <cellStyles count="2">
    <cellStyle name="Hipervínculo" xfId="1" builtinId="8"/>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320862-E24C-49B7-8405-827F3442FC2D}" name="Table2" displayName="Table2" ref="D1:H28" totalsRowShown="0">
  <autoFilter ref="D1:H28" xr:uid="{35320862-E24C-49B7-8405-827F3442FC2D}"/>
  <tableColumns count="5">
    <tableColumn id="1" xr3:uid="{B41CBD97-C843-4EE4-BF60-2631E7D48AB4}" name="Nombre"/>
    <tableColumn id="2" xr3:uid="{48EF46ED-1A59-497C-8E0C-ACA62652E405}" name="Apellido"/>
    <tableColumn id="3" xr3:uid="{CB093749-500F-4BAA-BAE2-F78FE4D3E251}" name="Nota"/>
    <tableColumn id="4" xr3:uid="{618923AD-16E3-465F-B4F2-E2A64CB466C8}" name="Feedback" dataDxfId="0"/>
    <tableColumn id="5" xr3:uid="{6DE52998-4306-4CCE-995D-63F117A97E62}" name="Corre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carlosacisterna9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C8CF-A075-4C2E-A66A-CCFFFA976947}">
  <dimension ref="C1:H28"/>
  <sheetViews>
    <sheetView tabSelected="1" workbookViewId="0">
      <selection sqref="A1:XFD2"/>
    </sheetView>
  </sheetViews>
  <sheetFormatPr baseColWidth="10" defaultColWidth="9.140625" defaultRowHeight="15" x14ac:dyDescent="0.25"/>
  <cols>
    <col min="4" max="4" width="9.7109375" customWidth="1"/>
    <col min="5" max="5" width="9.85546875" customWidth="1"/>
    <col min="7" max="7" width="26.85546875" customWidth="1"/>
  </cols>
  <sheetData>
    <row r="1" spans="3:8" x14ac:dyDescent="0.25">
      <c r="C1" t="s">
        <v>59</v>
      </c>
      <c r="D1" t="s">
        <v>0</v>
      </c>
      <c r="E1" t="s">
        <v>2</v>
      </c>
      <c r="F1" t="s">
        <v>1</v>
      </c>
      <c r="G1" t="s">
        <v>5</v>
      </c>
      <c r="H1" t="s">
        <v>62</v>
      </c>
    </row>
    <row r="2" spans="3:8" ht="30" x14ac:dyDescent="0.25">
      <c r="C2" t="str">
        <f>_xlfn.CONCAT(Table2[[#This Row],[Nombre]],Table2[[#This Row],[Apellido]])</f>
        <v>ElvioJuarez</v>
      </c>
      <c r="D2" t="s">
        <v>3</v>
      </c>
      <c r="E2" t="s">
        <v>4</v>
      </c>
      <c r="F2">
        <v>6</v>
      </c>
      <c r="G2" s="1" t="s">
        <v>6</v>
      </c>
      <c r="H2" s="8" t="s">
        <v>63</v>
      </c>
    </row>
    <row r="3" spans="3:8" ht="30" x14ac:dyDescent="0.25">
      <c r="C3" t="str">
        <f>_xlfn.CONCAT(Table2[[#This Row],[Nombre]],Table2[[#This Row],[Apellido]])</f>
        <v>LucianoPalavecino</v>
      </c>
      <c r="D3" t="s">
        <v>7</v>
      </c>
      <c r="E3" t="s">
        <v>8</v>
      </c>
      <c r="F3">
        <v>8.5</v>
      </c>
      <c r="G3" s="1" t="s">
        <v>9</v>
      </c>
    </row>
    <row r="4" spans="3:8" ht="60" x14ac:dyDescent="0.25">
      <c r="C4" t="str">
        <f>_xlfn.CONCAT(Table2[[#This Row],[Nombre]],Table2[[#This Row],[Apellido]])</f>
        <v>Matias Sanchez</v>
      </c>
      <c r="D4" t="s">
        <v>10</v>
      </c>
      <c r="E4" t="s">
        <v>11</v>
      </c>
      <c r="F4">
        <v>7</v>
      </c>
      <c r="G4" s="1" t="s">
        <v>12</v>
      </c>
    </row>
    <row r="5" spans="3:8" ht="60" x14ac:dyDescent="0.25">
      <c r="C5" t="str">
        <f>_xlfn.CONCAT(Table2[[#This Row],[Nombre]],Table2[[#This Row],[Apellido]])</f>
        <v>MelinaGonzalez</v>
      </c>
      <c r="D5" t="s">
        <v>13</v>
      </c>
      <c r="E5" t="s">
        <v>14</v>
      </c>
      <c r="F5">
        <v>8</v>
      </c>
      <c r="G5" s="1" t="s">
        <v>15</v>
      </c>
    </row>
    <row r="6" spans="3:8" ht="75" x14ac:dyDescent="0.25">
      <c r="C6" t="str">
        <f>_xlfn.CONCAT(Table2[[#This Row],[Nombre]],Table2[[#This Row],[Apellido]])</f>
        <v>ElinaGarcia</v>
      </c>
      <c r="D6" t="s">
        <v>16</v>
      </c>
      <c r="E6" t="s">
        <v>17</v>
      </c>
      <c r="F6">
        <v>7</v>
      </c>
      <c r="G6" s="1" t="s">
        <v>18</v>
      </c>
    </row>
    <row r="7" spans="3:8" ht="60" x14ac:dyDescent="0.25">
      <c r="C7" t="str">
        <f>_xlfn.CONCAT(Table2[[#This Row],[Nombre]],Table2[[#This Row],[Apellido]])</f>
        <v>AnaMato</v>
      </c>
      <c r="D7" t="s">
        <v>19</v>
      </c>
      <c r="E7" t="s">
        <v>20</v>
      </c>
      <c r="F7">
        <v>6</v>
      </c>
      <c r="G7" s="1" t="s">
        <v>21</v>
      </c>
    </row>
    <row r="8" spans="3:8" ht="60" x14ac:dyDescent="0.25">
      <c r="C8" t="str">
        <f>_xlfn.CONCAT(Table2[[#This Row],[Nombre]],Table2[[#This Row],[Apellido]])</f>
        <v>BarbaraVizcarra</v>
      </c>
      <c r="D8" t="s">
        <v>22</v>
      </c>
      <c r="E8" t="s">
        <v>23</v>
      </c>
      <c r="F8">
        <v>8</v>
      </c>
      <c r="G8" s="1" t="s">
        <v>24</v>
      </c>
    </row>
    <row r="9" spans="3:8" ht="30" x14ac:dyDescent="0.25">
      <c r="C9" t="str">
        <f>_xlfn.CONCAT(Table2[[#This Row],[Nombre]],Table2[[#This Row],[Apellido]])</f>
        <v>AynaraAlegre</v>
      </c>
      <c r="D9" t="s">
        <v>25</v>
      </c>
      <c r="E9" t="s">
        <v>26</v>
      </c>
      <c r="F9">
        <v>8</v>
      </c>
      <c r="G9" s="1" t="s">
        <v>27</v>
      </c>
    </row>
    <row r="10" spans="3:8" ht="30" x14ac:dyDescent="0.25">
      <c r="C10" t="str">
        <f>_xlfn.CONCAT(Table2[[#This Row],[Nombre]],Table2[[#This Row],[Apellido]])</f>
        <v>LucianaRamallo</v>
      </c>
      <c r="D10" t="s">
        <v>28</v>
      </c>
      <c r="E10" t="s">
        <v>29</v>
      </c>
      <c r="F10">
        <v>9</v>
      </c>
      <c r="G10" s="1" t="s">
        <v>30</v>
      </c>
    </row>
    <row r="11" spans="3:8" ht="75" x14ac:dyDescent="0.25">
      <c r="C11" t="str">
        <f>_xlfn.CONCAT(Table2[[#This Row],[Nombre]],Table2[[#This Row],[Apellido]])</f>
        <v>MagaliSaldaño</v>
      </c>
      <c r="D11" t="s">
        <v>31</v>
      </c>
      <c r="E11" t="s">
        <v>32</v>
      </c>
      <c r="F11">
        <v>5.5</v>
      </c>
      <c r="G11" s="1" t="s">
        <v>33</v>
      </c>
    </row>
    <row r="12" spans="3:8" ht="60" x14ac:dyDescent="0.25">
      <c r="C12" t="str">
        <f>_xlfn.CONCAT(Table2[[#This Row],[Nombre]],Table2[[#This Row],[Apellido]])</f>
        <v>KarinaJimenez</v>
      </c>
      <c r="D12" t="s">
        <v>34</v>
      </c>
      <c r="E12" t="s">
        <v>35</v>
      </c>
      <c r="F12">
        <v>6</v>
      </c>
      <c r="G12" s="1" t="s">
        <v>36</v>
      </c>
    </row>
    <row r="13" spans="3:8" ht="45" x14ac:dyDescent="0.25">
      <c r="C13" t="str">
        <f>_xlfn.CONCAT(Table2[[#This Row],[Nombre]],Table2[[#This Row],[Apellido]])</f>
        <v>Maximo Montero</v>
      </c>
      <c r="D13" t="s">
        <v>37</v>
      </c>
      <c r="E13" t="s">
        <v>38</v>
      </c>
      <c r="F13">
        <v>8</v>
      </c>
      <c r="G13" s="1" t="s">
        <v>39</v>
      </c>
    </row>
    <row r="14" spans="3:8" ht="60" x14ac:dyDescent="0.25">
      <c r="C14" t="str">
        <f>_xlfn.CONCAT(Table2[[#This Row],[Nombre]],Table2[[#This Row],[Apellido]])</f>
        <v>IvanGaraffa</v>
      </c>
      <c r="D14" t="s">
        <v>40</v>
      </c>
      <c r="E14" t="s">
        <v>41</v>
      </c>
      <c r="F14">
        <v>9</v>
      </c>
      <c r="G14" s="1" t="s">
        <v>42</v>
      </c>
    </row>
    <row r="15" spans="3:8" ht="90" x14ac:dyDescent="0.25">
      <c r="C15" t="str">
        <f>_xlfn.CONCAT(Table2[[#This Row],[Nombre]],Table2[[#This Row],[Apellido]])</f>
        <v>NadiaGarcia</v>
      </c>
      <c r="D15" t="s">
        <v>43</v>
      </c>
      <c r="E15" t="s">
        <v>17</v>
      </c>
      <c r="F15">
        <v>7</v>
      </c>
      <c r="G15" s="1" t="s">
        <v>44</v>
      </c>
    </row>
    <row r="16" spans="3:8" ht="105" x14ac:dyDescent="0.25">
      <c r="C16" t="str">
        <f>_xlfn.CONCAT(Table2[[#This Row],[Nombre]],Table2[[#This Row],[Apellido]])</f>
        <v>MairaSuarez</v>
      </c>
      <c r="D16" t="s">
        <v>45</v>
      </c>
      <c r="E16" t="s">
        <v>46</v>
      </c>
      <c r="F16">
        <v>6</v>
      </c>
      <c r="G16" s="1" t="s">
        <v>47</v>
      </c>
    </row>
    <row r="17" spans="3:7" ht="60" x14ac:dyDescent="0.25">
      <c r="C17" t="str">
        <f>_xlfn.CONCAT(Table2[[#This Row],[Nombre]],Table2[[#This Row],[Apellido]])</f>
        <v>IsabelRueda</v>
      </c>
      <c r="D17" t="s">
        <v>48</v>
      </c>
      <c r="E17" t="s">
        <v>49</v>
      </c>
      <c r="F17">
        <v>6</v>
      </c>
      <c r="G17" s="1" t="s">
        <v>50</v>
      </c>
    </row>
    <row r="18" spans="3:7" ht="75" x14ac:dyDescent="0.25">
      <c r="C18" t="str">
        <f>_xlfn.CONCAT(Table2[[#This Row],[Nombre]],Table2[[#This Row],[Apellido]])</f>
        <v>AgustinKasgualder</v>
      </c>
      <c r="D18" t="s">
        <v>51</v>
      </c>
      <c r="E18" t="s">
        <v>52</v>
      </c>
      <c r="F18">
        <v>6</v>
      </c>
      <c r="G18" s="1" t="s">
        <v>53</v>
      </c>
    </row>
    <row r="19" spans="3:7" ht="135" x14ac:dyDescent="0.25">
      <c r="C19" t="str">
        <f>_xlfn.CONCAT(Table2[[#This Row],[Nombre]],Table2[[#This Row],[Apellido]])</f>
        <v>AgustinPalomino</v>
      </c>
      <c r="D19" t="s">
        <v>51</v>
      </c>
      <c r="E19" t="s">
        <v>54</v>
      </c>
      <c r="F19">
        <v>5</v>
      </c>
      <c r="G19" s="1" t="s">
        <v>55</v>
      </c>
    </row>
    <row r="20" spans="3:7" ht="150" x14ac:dyDescent="0.25">
      <c r="C20" t="str">
        <f>_xlfn.CONCAT(Table2[[#This Row],[Nombre]],Table2[[#This Row],[Apellido]])</f>
        <v>LautaroCaldez</v>
      </c>
      <c r="D20" t="s">
        <v>56</v>
      </c>
      <c r="E20" t="s">
        <v>57</v>
      </c>
      <c r="G20" s="1" t="s">
        <v>58</v>
      </c>
    </row>
    <row r="21" spans="3:7" x14ac:dyDescent="0.25">
      <c r="C21" t="str">
        <f>_xlfn.CONCAT(Table2[[#This Row],[Nombre]],Table2[[#This Row],[Apellido]])</f>
        <v/>
      </c>
      <c r="G21" s="1"/>
    </row>
    <row r="22" spans="3:7" x14ac:dyDescent="0.25">
      <c r="C22" t="str">
        <f>_xlfn.CONCAT(Table2[[#This Row],[Nombre]],Table2[[#This Row],[Apellido]])</f>
        <v/>
      </c>
      <c r="G22" s="1"/>
    </row>
    <row r="23" spans="3:7" x14ac:dyDescent="0.25">
      <c r="C23" t="str">
        <f>_xlfn.CONCAT(Table2[[#This Row],[Nombre]],Table2[[#This Row],[Apellido]])</f>
        <v/>
      </c>
      <c r="G23" s="1"/>
    </row>
    <row r="24" spans="3:7" x14ac:dyDescent="0.25">
      <c r="C24" t="str">
        <f>_xlfn.CONCAT(Table2[[#This Row],[Nombre]],Table2[[#This Row],[Apellido]])</f>
        <v/>
      </c>
      <c r="G24" s="1"/>
    </row>
    <row r="25" spans="3:7" x14ac:dyDescent="0.25">
      <c r="C25" t="str">
        <f>_xlfn.CONCAT(Table2[[#This Row],[Nombre]],Table2[[#This Row],[Apellido]])</f>
        <v/>
      </c>
      <c r="G25" s="1"/>
    </row>
    <row r="26" spans="3:7" x14ac:dyDescent="0.25">
      <c r="C26" t="str">
        <f>_xlfn.CONCAT(Table2[[#This Row],[Nombre]],Table2[[#This Row],[Apellido]])</f>
        <v/>
      </c>
      <c r="G26" s="1"/>
    </row>
    <row r="27" spans="3:7" x14ac:dyDescent="0.25">
      <c r="C27" t="str">
        <f>_xlfn.CONCAT(Table2[[#This Row],[Nombre]],Table2[[#This Row],[Apellido]])</f>
        <v/>
      </c>
      <c r="G27" s="1"/>
    </row>
    <row r="28" spans="3:7" x14ac:dyDescent="0.25">
      <c r="C28" t="str">
        <f>_xlfn.CONCAT(Table2[[#This Row],[Nombre]],Table2[[#This Row],[Apellido]])</f>
        <v/>
      </c>
      <c r="G28" s="1"/>
    </row>
  </sheetData>
  <hyperlinks>
    <hyperlink ref="H2" r:id="rId1" xr:uid="{477CC6C3-41CD-469D-859A-DE06A8EA712C}"/>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9F86-8A71-438E-B209-2B5BF1B6D8EF}">
  <dimension ref="C1:J8"/>
  <sheetViews>
    <sheetView showGridLines="0" workbookViewId="0">
      <selection activeCell="C1" sqref="C1:J8"/>
    </sheetView>
  </sheetViews>
  <sheetFormatPr baseColWidth="10" defaultColWidth="9.140625" defaultRowHeight="15" x14ac:dyDescent="0.25"/>
  <cols>
    <col min="4" max="4" width="13.85546875" bestFit="1" customWidth="1"/>
    <col min="7" max="7" width="8.85546875" hidden="1" customWidth="1"/>
    <col min="8" max="8" width="9.85546875" bestFit="1" customWidth="1"/>
    <col min="9" max="9" width="21.140625" customWidth="1"/>
  </cols>
  <sheetData>
    <row r="1" spans="3:10" x14ac:dyDescent="0.25">
      <c r="C1" s="2"/>
      <c r="D1" s="2"/>
      <c r="E1" s="2"/>
      <c r="F1" s="2"/>
      <c r="G1" s="2"/>
      <c r="H1" s="2"/>
      <c r="I1" s="2"/>
      <c r="J1" s="2"/>
    </row>
    <row r="2" spans="3:10" x14ac:dyDescent="0.25">
      <c r="C2" s="2"/>
      <c r="D2" s="4" t="s">
        <v>60</v>
      </c>
      <c r="E2" s="5" t="s">
        <v>2</v>
      </c>
      <c r="F2" s="2"/>
      <c r="G2" s="2"/>
      <c r="H2" s="4" t="s">
        <v>1</v>
      </c>
      <c r="I2" s="5" t="s">
        <v>5</v>
      </c>
      <c r="J2" s="2"/>
    </row>
    <row r="3" spans="3:10" ht="49.15" customHeight="1" x14ac:dyDescent="0.25">
      <c r="C3" s="2"/>
      <c r="D3" s="6" t="s">
        <v>61</v>
      </c>
      <c r="E3" s="6"/>
      <c r="F3" s="3"/>
      <c r="G3" s="3" t="str">
        <f>_xlfn.CONCAT(D3,E3)</f>
        <v>Mariana</v>
      </c>
      <c r="H3" s="7" t="str">
        <f>IFERROR(VLOOKUP(G3,Raw_Data!C:F,4,0),"Completar nuevamente los datos")</f>
        <v>Completar nuevamente los datos</v>
      </c>
      <c r="I3" s="7" t="str">
        <f>IFERROR(VLOOKUP(G3,Raw_Data!C:G,5,0),"Completar Nuevamente los datos")</f>
        <v>Completar Nuevamente los datos</v>
      </c>
      <c r="J3" s="2"/>
    </row>
    <row r="4" spans="3:10" x14ac:dyDescent="0.25">
      <c r="C4" s="2"/>
      <c r="D4" s="2"/>
      <c r="E4" s="2"/>
      <c r="F4" s="2"/>
      <c r="G4" s="2"/>
      <c r="H4" s="2"/>
      <c r="I4" s="2"/>
      <c r="J4" s="2"/>
    </row>
    <row r="5" spans="3:10" x14ac:dyDescent="0.25">
      <c r="C5" s="2"/>
      <c r="D5" s="2"/>
      <c r="E5" s="2"/>
      <c r="F5" s="2"/>
      <c r="G5" s="2"/>
      <c r="H5" s="2"/>
      <c r="I5" s="2"/>
      <c r="J5" s="2"/>
    </row>
    <row r="6" spans="3:10" x14ac:dyDescent="0.25">
      <c r="C6" s="2"/>
      <c r="D6" s="2"/>
      <c r="E6" s="2"/>
      <c r="F6" s="2"/>
      <c r="G6" s="2"/>
      <c r="H6" s="2"/>
      <c r="I6" s="2"/>
      <c r="J6" s="2"/>
    </row>
    <row r="7" spans="3:10" x14ac:dyDescent="0.25">
      <c r="C7" s="2"/>
      <c r="D7" s="2"/>
      <c r="E7" s="2"/>
      <c r="F7" s="2"/>
      <c r="G7" s="2"/>
      <c r="H7" s="2"/>
      <c r="I7" s="2"/>
      <c r="J7" s="2"/>
    </row>
    <row r="8" spans="3:10" x14ac:dyDescent="0.25">
      <c r="C8" s="2"/>
      <c r="D8" s="2"/>
      <c r="E8" s="2"/>
      <c r="F8" s="2"/>
      <c r="G8" s="2"/>
      <c r="H8" s="2"/>
      <c r="I8" s="2"/>
      <c r="J8"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B39FB4-9378-48AE-A02E-3027821B9F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Raw_Data</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Rodriguez</dc:creator>
  <cp:lastModifiedBy>carlos cisterna</cp:lastModifiedBy>
  <dcterms:created xsi:type="dcterms:W3CDTF">2026-06-14T22:58:40Z</dcterms:created>
  <dcterms:modified xsi:type="dcterms:W3CDTF">2026-06-15T02:34:47Z</dcterms:modified>
</cp:coreProperties>
</file>